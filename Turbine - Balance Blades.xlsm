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.tunes\Desktop\"/>
    </mc:Choice>
  </mc:AlternateContent>
  <xr:revisionPtr revIDLastSave="0" documentId="13_ncr:1_{B3A846CB-481D-45DD-A4F2-4D62ABF07D7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lance Blad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" l="1"/>
  <c r="K2" i="1" s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Tunes</author>
  </authors>
  <commentList>
    <comment ref="M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Luis Tunes:</t>
        </r>
        <r>
          <rPr>
            <sz val="9"/>
            <color indexed="81"/>
            <rFont val="Tahoma"/>
            <family val="2"/>
          </rPr>
          <t xml:space="preserve">
1min / 1000 iter</t>
        </r>
      </text>
    </comment>
    <comment ref="F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Luis Tunes:</t>
        </r>
        <r>
          <rPr>
            <sz val="9"/>
            <color indexed="81"/>
            <rFont val="Tahoma"/>
            <family val="2"/>
          </rPr>
          <t xml:space="preserve">
Assumption of constant centroid position of the blade.</t>
        </r>
      </text>
    </comment>
  </commentList>
</comments>
</file>

<file path=xl/sharedStrings.xml><?xml version="1.0" encoding="utf-8"?>
<sst xmlns="http://schemas.openxmlformats.org/spreadsheetml/2006/main" count="13" uniqueCount="13">
  <si>
    <r>
      <t>M</t>
    </r>
    <r>
      <rPr>
        <sz val="9"/>
        <color theme="1"/>
        <rFont val="Calibri"/>
        <family val="2"/>
        <scheme val="minor"/>
      </rPr>
      <t>e [g.mm]</t>
    </r>
  </si>
  <si>
    <r>
      <t>M</t>
    </r>
    <r>
      <rPr>
        <sz val="9"/>
        <color theme="1"/>
        <rFont val="Calibri"/>
        <family val="2"/>
        <scheme val="minor"/>
      </rPr>
      <t>e_angle [ ° ]</t>
    </r>
  </si>
  <si>
    <r>
      <t>blades</t>
    </r>
    <r>
      <rPr>
        <sz val="9"/>
        <color theme="1"/>
        <rFont val="Calibri"/>
        <family val="2"/>
        <scheme val="minor"/>
      </rPr>
      <t>_number</t>
    </r>
  </si>
  <si>
    <t>i</t>
  </si>
  <si>
    <t>blades_mass</t>
  </si>
  <si>
    <r>
      <t>blades</t>
    </r>
    <r>
      <rPr>
        <sz val="9"/>
        <color theme="1"/>
        <rFont val="Calibri"/>
        <family val="2"/>
        <scheme val="minor"/>
      </rPr>
      <t>_arm</t>
    </r>
  </si>
  <si>
    <r>
      <t>blades</t>
    </r>
    <r>
      <rPr>
        <b/>
        <sz val="9"/>
        <color theme="1"/>
        <rFont val="Calibri"/>
        <family val="2"/>
        <scheme val="minor"/>
      </rPr>
      <t>_mass</t>
    </r>
  </si>
  <si>
    <r>
      <t>blades</t>
    </r>
    <r>
      <rPr>
        <b/>
        <sz val="9"/>
        <color theme="1"/>
        <rFont val="Calibri"/>
        <family val="2"/>
        <scheme val="minor"/>
      </rPr>
      <t>_arm</t>
    </r>
  </si>
  <si>
    <t>Assembly Location</t>
  </si>
  <si>
    <t>blades_mass_moment</t>
  </si>
  <si>
    <t>iter:</t>
  </si>
  <si>
    <t>Unbalance [g.mm]:</t>
  </si>
  <si>
    <t>i*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</si>
</sst>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Protection="1"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right" vertical="center"/>
    </xf>
    <xf numFmtId="0" fontId="2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left" vertical="center"/>
    </xf>
    <xf numFmtId="0" fontId="0" fillId="0" borderId="0" xfId="0" applyProtection="1"/>
    <xf numFmtId="164" fontId="1" fillId="2" borderId="0" xfId="0" applyNumberFormat="1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0.000"/>
      <fill>
        <patternFill patternType="solid">
          <fgColor indexed="64"/>
          <bgColor theme="0"/>
        </patternFill>
      </fill>
      <alignment horizontal="center" textRotation="0" wrapText="0" indent="0" justifyLastLine="0" shrinkToFit="0" readingOrder="0"/>
      <protection locked="0" hidden="0"/>
    </dxf>
    <dxf>
      <numFmt numFmtId="164" formatCode="0.000"/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860311056159302"/>
          <c:y val="0.15955318965411017"/>
          <c:w val="0.55160932297447285"/>
          <c:h val="0.81076672104404568"/>
        </c:manualLayout>
      </c:layout>
      <c:radarChart>
        <c:radarStyle val="marker"/>
        <c:varyColors val="0"/>
        <c:ser>
          <c:idx val="0"/>
          <c:order val="0"/>
          <c:tx>
            <c:strRef>
              <c:f>'Balance Blades'!$K$1</c:f>
              <c:strCache>
                <c:ptCount val="1"/>
                <c:pt idx="0">
                  <c:v>blades_mass_moment</c:v>
                </c:pt>
              </c:strCache>
            </c:strRef>
          </c:tx>
          <c:cat>
            <c:numRef>
              <c:f>'Balance Blades'!$I$2:$I$59</c:f>
              <c:numCache>
                <c:formatCode>General</c:formatCode>
                <c:ptCount val="58"/>
              </c:numCache>
            </c:numRef>
          </c:cat>
          <c:val>
            <c:numRef>
              <c:f>'Balance Blades'!$K$2:$K$59</c:f>
              <c:numCache>
                <c:formatCode>0.000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5-45DD-9370-9BE334122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499647"/>
        <c:axId val="1"/>
      </c:radarChart>
      <c:catAx>
        <c:axId val="1743499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txPr>
          <a:bodyPr rot="0" vert="horz"/>
          <a:lstStyle/>
          <a:p>
            <a:pPr>
              <a:defRPr/>
            </a:pPr>
            <a:endParaRPr lang="pt-PT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crossAx val="1743499647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noFill/>
          <a:latin typeface="Arial"/>
          <a:ea typeface="Arial"/>
          <a:cs typeface="Arial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180975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blades_number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blades_arm</a:t>
              </a:r>
            </a:p>
          </xdr:txBody>
        </xdr:sp>
        <xdr:clientData fPrintsWithSheet="0"/>
      </xdr:twoCellAnchor>
    </mc:Choice>
    <mc:Fallback/>
  </mc:AlternateContent>
  <xdr:absoluteAnchor>
    <xdr:pos x="7019925" y="419100"/>
    <xdr:ext cx="5762625" cy="405765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I1:K59" totalsRowShown="0" headerRowDxfId="4" dataDxfId="3">
  <tableColumns count="3">
    <tableColumn id="1" xr3:uid="{00000000-0010-0000-0000-000001000000}" name="i*" dataDxfId="2"/>
    <tableColumn id="2" xr3:uid="{00000000-0010-0000-0000-000002000000}" name="blades_mass" dataDxfId="1">
      <calculatedColumnFormula>IFERROR(VLOOKUP(I2,$A$2:$C$100,2),"")</calculatedColumnFormula>
    </tableColumn>
    <tableColumn id="3" xr3:uid="{00000000-0010-0000-0000-000003000000}" name="blades_mass_moment" dataDxfId="0">
      <calculatedColumnFormula>Table1[[#This Row],[blades_mass]]*C2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showGridLines="0" tabSelected="1" zoomScaleNormal="100" workbookViewId="0">
      <pane ySplit="1" topLeftCell="A2" activePane="bottomLeft" state="frozen"/>
      <selection pane="bottomLeft" activeCell="W9" sqref="W9"/>
    </sheetView>
  </sheetViews>
  <sheetFormatPr defaultColWidth="9.140625" defaultRowHeight="15" x14ac:dyDescent="0.25"/>
  <cols>
    <col min="1" max="1" width="4.85546875" style="3" customWidth="1"/>
    <col min="2" max="2" width="11.42578125" style="4" bestFit="1" customWidth="1"/>
    <col min="3" max="3" width="10.5703125" style="8" bestFit="1" customWidth="1"/>
    <col min="4" max="4" width="9.140625" style="1"/>
    <col min="5" max="5" width="13.85546875" style="1" bestFit="1" customWidth="1"/>
    <col min="6" max="6" width="9.42578125" style="1" customWidth="1"/>
    <col min="7" max="7" width="9.42578125" style="1" bestFit="1" customWidth="1"/>
    <col min="8" max="8" width="17.7109375" style="3" bestFit="1" customWidth="1"/>
    <col min="9" max="9" width="5.85546875" style="19" customWidth="1"/>
    <col min="10" max="10" width="12.28515625" style="4" hidden="1" customWidth="1"/>
    <col min="11" max="11" width="21.140625" style="6" hidden="1" customWidth="1"/>
    <col min="12" max="12" width="9.140625" style="1"/>
    <col min="13" max="13" width="8.5703125" style="1" customWidth="1"/>
    <col min="14" max="15" width="9.140625" style="1"/>
    <col min="16" max="16" width="18.140625" style="1" bestFit="1" customWidth="1"/>
    <col min="17" max="17" width="5.42578125" style="1" customWidth="1"/>
    <col min="18" max="16384" width="9.140625" style="1"/>
  </cols>
  <sheetData>
    <row r="1" spans="1:19" s="16" customFormat="1" ht="22.5" customHeight="1" x14ac:dyDescent="0.25">
      <c r="A1" s="9" t="s">
        <v>3</v>
      </c>
      <c r="B1" s="10" t="s">
        <v>6</v>
      </c>
      <c r="C1" s="11" t="s">
        <v>7</v>
      </c>
      <c r="H1" s="12" t="s">
        <v>8</v>
      </c>
      <c r="I1" s="9" t="s">
        <v>12</v>
      </c>
      <c r="J1" s="10" t="s">
        <v>4</v>
      </c>
      <c r="K1" s="17" t="s">
        <v>9</v>
      </c>
      <c r="M1" s="13" t="s">
        <v>10</v>
      </c>
      <c r="N1" s="2"/>
      <c r="O1" s="14"/>
      <c r="P1" s="14" t="s">
        <v>11</v>
      </c>
      <c r="Q1" s="15"/>
      <c r="R1" s="14"/>
      <c r="S1" s="14"/>
    </row>
    <row r="2" spans="1:19" x14ac:dyDescent="0.25">
      <c r="A2" s="3">
        <v>1</v>
      </c>
      <c r="B2" s="4">
        <v>24.44</v>
      </c>
      <c r="C2" s="5">
        <v>20</v>
      </c>
      <c r="H2" s="3">
        <v>1</v>
      </c>
      <c r="I2" s="18"/>
      <c r="J2" s="4" t="str">
        <f t="shared" ref="J2:J33" si="0">IFERROR(VLOOKUP(I2,$A$2:$C$100,2),"")</f>
        <v/>
      </c>
      <c r="K2" s="6" t="e">
        <f>Table1[[#This Row],[blades_mass]]*C2</f>
        <v>#VALUE!</v>
      </c>
    </row>
    <row r="3" spans="1:19" x14ac:dyDescent="0.25">
      <c r="A3" s="3">
        <v>2</v>
      </c>
      <c r="B3" s="4">
        <v>24.713999999999999</v>
      </c>
      <c r="C3" s="5">
        <v>20</v>
      </c>
      <c r="E3" s="3" t="s">
        <v>2</v>
      </c>
      <c r="F3" s="7">
        <v>58</v>
      </c>
      <c r="H3" s="3">
        <v>2</v>
      </c>
      <c r="I3" s="18"/>
      <c r="J3" s="4" t="str">
        <f t="shared" si="0"/>
        <v/>
      </c>
      <c r="K3" s="6" t="e">
        <f>Table1[[#This Row],[blades_mass]]*C3</f>
        <v>#VALUE!</v>
      </c>
    </row>
    <row r="4" spans="1:19" x14ac:dyDescent="0.25">
      <c r="A4" s="3">
        <v>3</v>
      </c>
      <c r="B4" s="4">
        <v>24.774999999999999</v>
      </c>
      <c r="C4" s="5">
        <v>20</v>
      </c>
      <c r="E4" s="3"/>
      <c r="H4" s="3">
        <v>3</v>
      </c>
      <c r="I4" s="18"/>
      <c r="J4" s="4" t="str">
        <f t="shared" si="0"/>
        <v/>
      </c>
      <c r="K4" s="6" t="e">
        <f>Table1[[#This Row],[blades_mass]]*C4</f>
        <v>#VALUE!</v>
      </c>
    </row>
    <row r="5" spans="1:19" x14ac:dyDescent="0.25">
      <c r="A5" s="3">
        <v>4</v>
      </c>
      <c r="B5" s="4">
        <v>24.8</v>
      </c>
      <c r="C5" s="5">
        <v>20</v>
      </c>
      <c r="E5" s="3"/>
      <c r="H5" s="3">
        <v>4</v>
      </c>
      <c r="I5" s="18"/>
      <c r="J5" s="4" t="str">
        <f t="shared" si="0"/>
        <v/>
      </c>
      <c r="K5" s="6" t="e">
        <f>Table1[[#This Row],[blades_mass]]*C5</f>
        <v>#VALUE!</v>
      </c>
    </row>
    <row r="6" spans="1:19" x14ac:dyDescent="0.25">
      <c r="A6" s="3">
        <v>5</v>
      </c>
      <c r="B6" s="4">
        <v>24.885000000000002</v>
      </c>
      <c r="C6" s="5">
        <v>20</v>
      </c>
      <c r="E6" s="3"/>
      <c r="H6" s="3">
        <v>5</v>
      </c>
      <c r="I6" s="18"/>
      <c r="J6" s="4" t="str">
        <f t="shared" si="0"/>
        <v/>
      </c>
      <c r="K6" s="6" t="e">
        <f>Table1[[#This Row],[blades_mass]]*C6</f>
        <v>#VALUE!</v>
      </c>
    </row>
    <row r="7" spans="1:19" x14ac:dyDescent="0.25">
      <c r="A7" s="3">
        <v>6</v>
      </c>
      <c r="B7" s="4">
        <v>24.91</v>
      </c>
      <c r="C7" s="5">
        <v>20</v>
      </c>
      <c r="E7" s="3"/>
      <c r="H7" s="3">
        <v>6</v>
      </c>
      <c r="I7" s="18"/>
      <c r="J7" s="4" t="str">
        <f t="shared" si="0"/>
        <v/>
      </c>
      <c r="K7" s="6" t="e">
        <f>Table1[[#This Row],[blades_mass]]*C7</f>
        <v>#VALUE!</v>
      </c>
    </row>
    <row r="8" spans="1:19" x14ac:dyDescent="0.25">
      <c r="A8" s="3">
        <v>7</v>
      </c>
      <c r="B8" s="4">
        <v>25.004999999999999</v>
      </c>
      <c r="C8" s="5">
        <v>20</v>
      </c>
      <c r="E8" s="3" t="s">
        <v>5</v>
      </c>
      <c r="F8" s="7">
        <v>20</v>
      </c>
      <c r="H8" s="3">
        <v>7</v>
      </c>
      <c r="I8" s="18"/>
      <c r="J8" s="4" t="str">
        <f t="shared" si="0"/>
        <v/>
      </c>
      <c r="K8" s="6" t="e">
        <f>Table1[[#This Row],[blades_mass]]*C8</f>
        <v>#VALUE!</v>
      </c>
    </row>
    <row r="9" spans="1:19" x14ac:dyDescent="0.25">
      <c r="A9" s="3">
        <v>8</v>
      </c>
      <c r="B9" s="4">
        <v>25.027999999999999</v>
      </c>
      <c r="C9" s="5">
        <v>20</v>
      </c>
      <c r="E9" s="3"/>
      <c r="H9" s="3">
        <v>8</v>
      </c>
      <c r="I9" s="18"/>
      <c r="J9" s="4" t="str">
        <f t="shared" si="0"/>
        <v/>
      </c>
      <c r="K9" s="6" t="e">
        <f>Table1[[#This Row],[blades_mass]]*C9</f>
        <v>#VALUE!</v>
      </c>
    </row>
    <row r="10" spans="1:19" x14ac:dyDescent="0.25">
      <c r="A10" s="3">
        <v>9</v>
      </c>
      <c r="B10" s="4">
        <v>25.030999999999999</v>
      </c>
      <c r="C10" s="5">
        <v>20</v>
      </c>
      <c r="E10" s="3"/>
      <c r="H10" s="3">
        <v>9</v>
      </c>
      <c r="I10" s="18"/>
      <c r="J10" s="4" t="str">
        <f t="shared" si="0"/>
        <v/>
      </c>
      <c r="K10" s="6" t="e">
        <f>Table1[[#This Row],[blades_mass]]*C10</f>
        <v>#VALUE!</v>
      </c>
    </row>
    <row r="11" spans="1:19" x14ac:dyDescent="0.25">
      <c r="A11" s="3">
        <v>10</v>
      </c>
      <c r="B11" s="4">
        <v>25.048999999999999</v>
      </c>
      <c r="C11" s="5">
        <v>20</v>
      </c>
      <c r="E11" s="3"/>
      <c r="H11" s="3">
        <v>10</v>
      </c>
      <c r="I11" s="18"/>
      <c r="J11" s="4" t="str">
        <f t="shared" si="0"/>
        <v/>
      </c>
      <c r="K11" s="6" t="e">
        <f>Table1[[#This Row],[blades_mass]]*C11</f>
        <v>#VALUE!</v>
      </c>
    </row>
    <row r="12" spans="1:19" x14ac:dyDescent="0.25">
      <c r="A12" s="3">
        <v>11</v>
      </c>
      <c r="B12" s="4">
        <v>25.077000000000002</v>
      </c>
      <c r="C12" s="5">
        <v>20</v>
      </c>
      <c r="E12" s="3"/>
      <c r="H12" s="3">
        <v>11</v>
      </c>
      <c r="I12" s="18"/>
      <c r="J12" s="4" t="str">
        <f t="shared" si="0"/>
        <v/>
      </c>
      <c r="K12" s="6" t="e">
        <f>Table1[[#This Row],[blades_mass]]*C12</f>
        <v>#VALUE!</v>
      </c>
    </row>
    <row r="13" spans="1:19" x14ac:dyDescent="0.25">
      <c r="A13" s="3">
        <v>12</v>
      </c>
      <c r="B13" s="4">
        <v>25.082999999999998</v>
      </c>
      <c r="C13" s="5">
        <v>20</v>
      </c>
      <c r="E13" s="3" t="s">
        <v>0</v>
      </c>
      <c r="F13" s="7">
        <v>5</v>
      </c>
      <c r="H13" s="3">
        <v>12</v>
      </c>
      <c r="I13" s="18"/>
      <c r="J13" s="4" t="str">
        <f t="shared" si="0"/>
        <v/>
      </c>
      <c r="K13" s="6" t="e">
        <f>Table1[[#This Row],[blades_mass]]*C13</f>
        <v>#VALUE!</v>
      </c>
    </row>
    <row r="14" spans="1:19" x14ac:dyDescent="0.25">
      <c r="A14" s="3">
        <v>13</v>
      </c>
      <c r="B14" s="4">
        <v>25.113</v>
      </c>
      <c r="C14" s="5">
        <v>20</v>
      </c>
      <c r="E14" s="3" t="s">
        <v>1</v>
      </c>
      <c r="F14" s="7">
        <v>1</v>
      </c>
      <c r="H14" s="3">
        <v>13</v>
      </c>
      <c r="I14" s="18"/>
      <c r="J14" s="4" t="str">
        <f t="shared" si="0"/>
        <v/>
      </c>
      <c r="K14" s="6" t="e">
        <f>Table1[[#This Row],[blades_mass]]*C14</f>
        <v>#VALUE!</v>
      </c>
    </row>
    <row r="15" spans="1:19" x14ac:dyDescent="0.25">
      <c r="A15" s="3">
        <v>14</v>
      </c>
      <c r="B15" s="4">
        <v>25.12</v>
      </c>
      <c r="C15" s="5">
        <v>20</v>
      </c>
      <c r="H15" s="3">
        <v>14</v>
      </c>
      <c r="I15" s="18"/>
      <c r="J15" s="4" t="str">
        <f t="shared" si="0"/>
        <v/>
      </c>
      <c r="K15" s="6" t="e">
        <f>Table1[[#This Row],[blades_mass]]*C15</f>
        <v>#VALUE!</v>
      </c>
    </row>
    <row r="16" spans="1:19" x14ac:dyDescent="0.25">
      <c r="A16" s="3">
        <v>15</v>
      </c>
      <c r="B16" s="4">
        <v>25.141999999999999</v>
      </c>
      <c r="C16" s="5">
        <v>20</v>
      </c>
      <c r="H16" s="3">
        <v>15</v>
      </c>
      <c r="I16" s="18"/>
      <c r="J16" s="4" t="str">
        <f t="shared" si="0"/>
        <v/>
      </c>
      <c r="K16" s="6" t="e">
        <f>Table1[[#This Row],[blades_mass]]*C16</f>
        <v>#VALUE!</v>
      </c>
    </row>
    <row r="17" spans="1:11" x14ac:dyDescent="0.25">
      <c r="A17" s="3">
        <v>16</v>
      </c>
      <c r="B17" s="4">
        <v>25.158000000000001</v>
      </c>
      <c r="C17" s="5">
        <v>20</v>
      </c>
      <c r="H17" s="3">
        <v>16</v>
      </c>
      <c r="I17" s="18"/>
      <c r="J17" s="4" t="str">
        <f t="shared" si="0"/>
        <v/>
      </c>
      <c r="K17" s="6" t="e">
        <f>Table1[[#This Row],[blades_mass]]*C17</f>
        <v>#VALUE!</v>
      </c>
    </row>
    <row r="18" spans="1:11" x14ac:dyDescent="0.25">
      <c r="A18" s="3">
        <v>17</v>
      </c>
      <c r="B18" s="4">
        <v>25.16</v>
      </c>
      <c r="C18" s="5">
        <v>20</v>
      </c>
      <c r="H18" s="3">
        <v>17</v>
      </c>
      <c r="I18" s="18"/>
      <c r="J18" s="4" t="str">
        <f t="shared" si="0"/>
        <v/>
      </c>
      <c r="K18" s="6" t="e">
        <f>Table1[[#This Row],[blades_mass]]*C18</f>
        <v>#VALUE!</v>
      </c>
    </row>
    <row r="19" spans="1:11" x14ac:dyDescent="0.25">
      <c r="A19" s="3">
        <v>18</v>
      </c>
      <c r="B19" s="4">
        <v>25.196999999999999</v>
      </c>
      <c r="C19" s="5">
        <v>20</v>
      </c>
      <c r="H19" s="3">
        <v>18</v>
      </c>
      <c r="I19" s="18"/>
      <c r="J19" s="4" t="str">
        <f t="shared" si="0"/>
        <v/>
      </c>
      <c r="K19" s="6" t="e">
        <f>Table1[[#This Row],[blades_mass]]*C19</f>
        <v>#VALUE!</v>
      </c>
    </row>
    <row r="20" spans="1:11" x14ac:dyDescent="0.25">
      <c r="A20" s="3">
        <v>19</v>
      </c>
      <c r="B20" s="4">
        <v>25.239000000000001</v>
      </c>
      <c r="C20" s="5">
        <v>20</v>
      </c>
      <c r="H20" s="3">
        <v>19</v>
      </c>
      <c r="I20" s="18"/>
      <c r="J20" s="4" t="str">
        <f t="shared" si="0"/>
        <v/>
      </c>
      <c r="K20" s="6" t="e">
        <f>Table1[[#This Row],[blades_mass]]*C20</f>
        <v>#VALUE!</v>
      </c>
    </row>
    <row r="21" spans="1:11" x14ac:dyDescent="0.25">
      <c r="A21" s="3">
        <v>20</v>
      </c>
      <c r="B21" s="4">
        <v>25.263000000000002</v>
      </c>
      <c r="C21" s="5">
        <v>20</v>
      </c>
      <c r="H21" s="3">
        <v>20</v>
      </c>
      <c r="I21" s="18"/>
      <c r="J21" s="4" t="str">
        <f t="shared" si="0"/>
        <v/>
      </c>
      <c r="K21" s="6" t="e">
        <f>Table1[[#This Row],[blades_mass]]*C21</f>
        <v>#VALUE!</v>
      </c>
    </row>
    <row r="22" spans="1:11" x14ac:dyDescent="0.25">
      <c r="A22" s="3">
        <v>21</v>
      </c>
      <c r="B22" s="4">
        <v>25.294</v>
      </c>
      <c r="C22" s="5">
        <v>20</v>
      </c>
      <c r="H22" s="3">
        <v>21</v>
      </c>
      <c r="I22" s="18"/>
      <c r="J22" s="4" t="str">
        <f t="shared" si="0"/>
        <v/>
      </c>
      <c r="K22" s="6" t="e">
        <f>Table1[[#This Row],[blades_mass]]*C22</f>
        <v>#VALUE!</v>
      </c>
    </row>
    <row r="23" spans="1:11" x14ac:dyDescent="0.25">
      <c r="A23" s="3">
        <v>22</v>
      </c>
      <c r="B23" s="4">
        <v>25.295999999999999</v>
      </c>
      <c r="C23" s="5">
        <v>20</v>
      </c>
      <c r="H23" s="3">
        <v>22</v>
      </c>
      <c r="I23" s="18"/>
      <c r="J23" s="4" t="str">
        <f t="shared" si="0"/>
        <v/>
      </c>
      <c r="K23" s="6" t="e">
        <f>Table1[[#This Row],[blades_mass]]*C23</f>
        <v>#VALUE!</v>
      </c>
    </row>
    <row r="24" spans="1:11" x14ac:dyDescent="0.25">
      <c r="A24" s="3">
        <v>23</v>
      </c>
      <c r="B24" s="4">
        <v>25.341000000000001</v>
      </c>
      <c r="C24" s="5">
        <v>20</v>
      </c>
      <c r="H24" s="3">
        <v>23</v>
      </c>
      <c r="I24" s="18"/>
      <c r="J24" s="4" t="str">
        <f t="shared" si="0"/>
        <v/>
      </c>
      <c r="K24" s="6" t="e">
        <f>Table1[[#This Row],[blades_mass]]*C24</f>
        <v>#VALUE!</v>
      </c>
    </row>
    <row r="25" spans="1:11" x14ac:dyDescent="0.25">
      <c r="A25" s="3">
        <v>24</v>
      </c>
      <c r="B25" s="4">
        <v>25.347000000000001</v>
      </c>
      <c r="C25" s="5">
        <v>20</v>
      </c>
      <c r="H25" s="3">
        <v>24</v>
      </c>
      <c r="I25" s="18"/>
      <c r="J25" s="4" t="str">
        <f t="shared" si="0"/>
        <v/>
      </c>
      <c r="K25" s="6" t="e">
        <f>Table1[[#This Row],[blades_mass]]*C25</f>
        <v>#VALUE!</v>
      </c>
    </row>
    <row r="26" spans="1:11" x14ac:dyDescent="0.25">
      <c r="A26" s="3">
        <v>25</v>
      </c>
      <c r="B26" s="4">
        <v>25.361999999999998</v>
      </c>
      <c r="C26" s="5">
        <v>20</v>
      </c>
      <c r="H26" s="3">
        <v>25</v>
      </c>
      <c r="I26" s="18"/>
      <c r="J26" s="4" t="str">
        <f t="shared" si="0"/>
        <v/>
      </c>
      <c r="K26" s="6" t="e">
        <f>Table1[[#This Row],[blades_mass]]*C26</f>
        <v>#VALUE!</v>
      </c>
    </row>
    <row r="27" spans="1:11" x14ac:dyDescent="0.25">
      <c r="A27" s="3">
        <v>26</v>
      </c>
      <c r="B27" s="4">
        <v>25.364999999999998</v>
      </c>
      <c r="C27" s="5">
        <v>20</v>
      </c>
      <c r="H27" s="3">
        <v>26</v>
      </c>
      <c r="I27" s="18"/>
      <c r="J27" s="4" t="str">
        <f t="shared" si="0"/>
        <v/>
      </c>
      <c r="K27" s="6" t="e">
        <f>Table1[[#This Row],[blades_mass]]*C27</f>
        <v>#VALUE!</v>
      </c>
    </row>
    <row r="28" spans="1:11" x14ac:dyDescent="0.25">
      <c r="A28" s="3">
        <v>27</v>
      </c>
      <c r="B28" s="4">
        <v>25.385999999999999</v>
      </c>
      <c r="C28" s="5">
        <v>20</v>
      </c>
      <c r="H28" s="3">
        <v>27</v>
      </c>
      <c r="I28" s="18"/>
      <c r="J28" s="4" t="str">
        <f t="shared" si="0"/>
        <v/>
      </c>
      <c r="K28" s="6" t="e">
        <f>Table1[[#This Row],[blades_mass]]*C28</f>
        <v>#VALUE!</v>
      </c>
    </row>
    <row r="29" spans="1:11" x14ac:dyDescent="0.25">
      <c r="A29" s="3">
        <v>28</v>
      </c>
      <c r="B29" s="4">
        <v>25.388000000000002</v>
      </c>
      <c r="C29" s="5">
        <v>20</v>
      </c>
      <c r="H29" s="3">
        <v>28</v>
      </c>
      <c r="I29" s="18"/>
      <c r="J29" s="4" t="str">
        <f t="shared" si="0"/>
        <v/>
      </c>
      <c r="K29" s="6" t="e">
        <f>Table1[[#This Row],[blades_mass]]*C29</f>
        <v>#VALUE!</v>
      </c>
    </row>
    <row r="30" spans="1:11" x14ac:dyDescent="0.25">
      <c r="A30" s="3">
        <v>29</v>
      </c>
      <c r="B30" s="4">
        <v>25.393999999999998</v>
      </c>
      <c r="C30" s="5">
        <v>20</v>
      </c>
      <c r="H30" s="3">
        <v>29</v>
      </c>
      <c r="I30" s="18"/>
      <c r="J30" s="4" t="str">
        <f t="shared" si="0"/>
        <v/>
      </c>
      <c r="K30" s="6" t="e">
        <f>Table1[[#This Row],[blades_mass]]*C30</f>
        <v>#VALUE!</v>
      </c>
    </row>
    <row r="31" spans="1:11" x14ac:dyDescent="0.25">
      <c r="A31" s="3">
        <v>30</v>
      </c>
      <c r="B31" s="4">
        <v>25.425999999999998</v>
      </c>
      <c r="C31" s="5">
        <v>20</v>
      </c>
      <c r="H31" s="3">
        <v>30</v>
      </c>
      <c r="I31" s="18"/>
      <c r="J31" s="4" t="str">
        <f t="shared" si="0"/>
        <v/>
      </c>
      <c r="K31" s="6" t="e">
        <f>Table1[[#This Row],[blades_mass]]*C31</f>
        <v>#VALUE!</v>
      </c>
    </row>
    <row r="32" spans="1:11" x14ac:dyDescent="0.25">
      <c r="A32" s="3">
        <v>31</v>
      </c>
      <c r="B32" s="4">
        <v>25.427</v>
      </c>
      <c r="C32" s="5">
        <v>20</v>
      </c>
      <c r="H32" s="3">
        <v>31</v>
      </c>
      <c r="I32" s="18"/>
      <c r="J32" s="4" t="str">
        <f t="shared" si="0"/>
        <v/>
      </c>
      <c r="K32" s="6" t="e">
        <f>Table1[[#This Row],[blades_mass]]*C32</f>
        <v>#VALUE!</v>
      </c>
    </row>
    <row r="33" spans="1:11" x14ac:dyDescent="0.25">
      <c r="A33" s="3">
        <v>32</v>
      </c>
      <c r="B33" s="4">
        <v>25.433</v>
      </c>
      <c r="C33" s="5">
        <v>20</v>
      </c>
      <c r="H33" s="3">
        <v>32</v>
      </c>
      <c r="I33" s="18"/>
      <c r="J33" s="4" t="str">
        <f t="shared" si="0"/>
        <v/>
      </c>
      <c r="K33" s="6" t="e">
        <f>Table1[[#This Row],[blades_mass]]*C33</f>
        <v>#VALUE!</v>
      </c>
    </row>
    <row r="34" spans="1:11" x14ac:dyDescent="0.25">
      <c r="A34" s="3">
        <v>33</v>
      </c>
      <c r="B34" s="4">
        <v>25.437000000000001</v>
      </c>
      <c r="C34" s="5">
        <v>20</v>
      </c>
      <c r="H34" s="3">
        <v>33</v>
      </c>
      <c r="I34" s="18"/>
      <c r="J34" s="4" t="str">
        <f t="shared" ref="J34:J59" si="1">IFERROR(VLOOKUP(I34,$A$2:$C$100,2),"")</f>
        <v/>
      </c>
      <c r="K34" s="6" t="e">
        <f>Table1[[#This Row],[blades_mass]]*C34</f>
        <v>#VALUE!</v>
      </c>
    </row>
    <row r="35" spans="1:11" x14ac:dyDescent="0.25">
      <c r="A35" s="3">
        <v>34</v>
      </c>
      <c r="B35" s="4">
        <v>25.439</v>
      </c>
      <c r="C35" s="5">
        <v>20</v>
      </c>
      <c r="H35" s="3">
        <v>34</v>
      </c>
      <c r="I35" s="18"/>
      <c r="J35" s="4" t="str">
        <f t="shared" si="1"/>
        <v/>
      </c>
      <c r="K35" s="6" t="e">
        <f>Table1[[#This Row],[blades_mass]]*C35</f>
        <v>#VALUE!</v>
      </c>
    </row>
    <row r="36" spans="1:11" x14ac:dyDescent="0.25">
      <c r="A36" s="3">
        <v>35</v>
      </c>
      <c r="B36" s="4">
        <v>25.46</v>
      </c>
      <c r="C36" s="5">
        <v>20</v>
      </c>
      <c r="H36" s="3">
        <v>35</v>
      </c>
      <c r="I36" s="18"/>
      <c r="J36" s="4" t="str">
        <f t="shared" si="1"/>
        <v/>
      </c>
      <c r="K36" s="6" t="e">
        <f>Table1[[#This Row],[blades_mass]]*C36</f>
        <v>#VALUE!</v>
      </c>
    </row>
    <row r="37" spans="1:11" x14ac:dyDescent="0.25">
      <c r="A37" s="3">
        <v>36</v>
      </c>
      <c r="B37" s="4">
        <v>25.488</v>
      </c>
      <c r="C37" s="5">
        <v>20</v>
      </c>
      <c r="H37" s="3">
        <v>36</v>
      </c>
      <c r="I37" s="18"/>
      <c r="J37" s="4" t="str">
        <f t="shared" si="1"/>
        <v/>
      </c>
      <c r="K37" s="6" t="e">
        <f>Table1[[#This Row],[blades_mass]]*C37</f>
        <v>#VALUE!</v>
      </c>
    </row>
    <row r="38" spans="1:11" x14ac:dyDescent="0.25">
      <c r="A38" s="3">
        <v>37</v>
      </c>
      <c r="B38" s="4">
        <v>25.495999999999999</v>
      </c>
      <c r="C38" s="5">
        <v>20</v>
      </c>
      <c r="H38" s="3">
        <v>37</v>
      </c>
      <c r="I38" s="18"/>
      <c r="J38" s="4" t="str">
        <f t="shared" si="1"/>
        <v/>
      </c>
      <c r="K38" s="6" t="e">
        <f>Table1[[#This Row],[blades_mass]]*C38</f>
        <v>#VALUE!</v>
      </c>
    </row>
    <row r="39" spans="1:11" x14ac:dyDescent="0.25">
      <c r="A39" s="3">
        <v>38</v>
      </c>
      <c r="B39" s="4">
        <v>25.507999999999999</v>
      </c>
      <c r="C39" s="5">
        <v>20</v>
      </c>
      <c r="H39" s="3">
        <v>38</v>
      </c>
      <c r="I39" s="18"/>
      <c r="J39" s="4" t="str">
        <f t="shared" si="1"/>
        <v/>
      </c>
      <c r="K39" s="6" t="e">
        <f>Table1[[#This Row],[blades_mass]]*C39</f>
        <v>#VALUE!</v>
      </c>
    </row>
    <row r="40" spans="1:11" x14ac:dyDescent="0.25">
      <c r="A40" s="3">
        <v>39</v>
      </c>
      <c r="B40" s="4">
        <v>25.51</v>
      </c>
      <c r="C40" s="5">
        <v>20</v>
      </c>
      <c r="H40" s="3">
        <v>39</v>
      </c>
      <c r="I40" s="18"/>
      <c r="J40" s="4" t="str">
        <f t="shared" si="1"/>
        <v/>
      </c>
      <c r="K40" s="6" t="e">
        <f>Table1[[#This Row],[blades_mass]]*C40</f>
        <v>#VALUE!</v>
      </c>
    </row>
    <row r="41" spans="1:11" x14ac:dyDescent="0.25">
      <c r="A41" s="3">
        <v>40</v>
      </c>
      <c r="B41" s="4">
        <v>25.518000000000001</v>
      </c>
      <c r="C41" s="5">
        <v>20</v>
      </c>
      <c r="H41" s="3">
        <v>40</v>
      </c>
      <c r="I41" s="18"/>
      <c r="J41" s="4" t="str">
        <f t="shared" si="1"/>
        <v/>
      </c>
      <c r="K41" s="6" t="e">
        <f>Table1[[#This Row],[blades_mass]]*C41</f>
        <v>#VALUE!</v>
      </c>
    </row>
    <row r="42" spans="1:11" x14ac:dyDescent="0.25">
      <c r="A42" s="3">
        <v>41</v>
      </c>
      <c r="B42" s="4">
        <v>25.518999999999998</v>
      </c>
      <c r="C42" s="5">
        <v>20</v>
      </c>
      <c r="H42" s="3">
        <v>41</v>
      </c>
      <c r="I42" s="18"/>
      <c r="J42" s="4" t="str">
        <f t="shared" si="1"/>
        <v/>
      </c>
      <c r="K42" s="6" t="e">
        <f>Table1[[#This Row],[blades_mass]]*C42</f>
        <v>#VALUE!</v>
      </c>
    </row>
    <row r="43" spans="1:11" x14ac:dyDescent="0.25">
      <c r="A43" s="3">
        <v>42</v>
      </c>
      <c r="B43" s="4">
        <v>25.544</v>
      </c>
      <c r="C43" s="5">
        <v>20</v>
      </c>
      <c r="H43" s="3">
        <v>42</v>
      </c>
      <c r="I43" s="18"/>
      <c r="J43" s="4" t="str">
        <f t="shared" si="1"/>
        <v/>
      </c>
      <c r="K43" s="6" t="e">
        <f>Table1[[#This Row],[blades_mass]]*C43</f>
        <v>#VALUE!</v>
      </c>
    </row>
    <row r="44" spans="1:11" x14ac:dyDescent="0.25">
      <c r="A44" s="3">
        <v>43</v>
      </c>
      <c r="B44" s="4">
        <v>25.55</v>
      </c>
      <c r="C44" s="5">
        <v>20</v>
      </c>
      <c r="H44" s="3">
        <v>43</v>
      </c>
      <c r="I44" s="18"/>
      <c r="J44" s="4" t="str">
        <f t="shared" si="1"/>
        <v/>
      </c>
      <c r="K44" s="6" t="e">
        <f>Table1[[#This Row],[blades_mass]]*C44</f>
        <v>#VALUE!</v>
      </c>
    </row>
    <row r="45" spans="1:11" x14ac:dyDescent="0.25">
      <c r="A45" s="3">
        <v>44</v>
      </c>
      <c r="B45" s="4">
        <v>25.552</v>
      </c>
      <c r="C45" s="5">
        <v>20</v>
      </c>
      <c r="H45" s="3">
        <v>44</v>
      </c>
      <c r="I45" s="18"/>
      <c r="J45" s="4" t="str">
        <f t="shared" si="1"/>
        <v/>
      </c>
      <c r="K45" s="6" t="e">
        <f>Table1[[#This Row],[blades_mass]]*C45</f>
        <v>#VALUE!</v>
      </c>
    </row>
    <row r="46" spans="1:11" x14ac:dyDescent="0.25">
      <c r="A46" s="3">
        <v>45</v>
      </c>
      <c r="B46" s="4">
        <v>25.555</v>
      </c>
      <c r="C46" s="5">
        <v>20</v>
      </c>
      <c r="H46" s="3">
        <v>45</v>
      </c>
      <c r="I46" s="18"/>
      <c r="J46" s="4" t="str">
        <f t="shared" si="1"/>
        <v/>
      </c>
      <c r="K46" s="6" t="e">
        <f>Table1[[#This Row],[blades_mass]]*C46</f>
        <v>#VALUE!</v>
      </c>
    </row>
    <row r="47" spans="1:11" x14ac:dyDescent="0.25">
      <c r="A47" s="3">
        <v>46</v>
      </c>
      <c r="B47" s="4">
        <v>25.56</v>
      </c>
      <c r="C47" s="5">
        <v>20</v>
      </c>
      <c r="H47" s="3">
        <v>46</v>
      </c>
      <c r="I47" s="18"/>
      <c r="J47" s="4" t="str">
        <f t="shared" si="1"/>
        <v/>
      </c>
      <c r="K47" s="6" t="e">
        <f>Table1[[#This Row],[blades_mass]]*C47</f>
        <v>#VALUE!</v>
      </c>
    </row>
    <row r="48" spans="1:11" x14ac:dyDescent="0.25">
      <c r="A48" s="3">
        <v>47</v>
      </c>
      <c r="B48" s="4">
        <v>25.561</v>
      </c>
      <c r="C48" s="5">
        <v>20</v>
      </c>
      <c r="H48" s="3">
        <v>47</v>
      </c>
      <c r="I48" s="18"/>
      <c r="J48" s="4" t="str">
        <f t="shared" si="1"/>
        <v/>
      </c>
      <c r="K48" s="6" t="e">
        <f>Table1[[#This Row],[blades_mass]]*C48</f>
        <v>#VALUE!</v>
      </c>
    </row>
    <row r="49" spans="1:11" x14ac:dyDescent="0.25">
      <c r="A49" s="3">
        <v>48</v>
      </c>
      <c r="B49" s="4">
        <v>25.57</v>
      </c>
      <c r="C49" s="5">
        <v>20</v>
      </c>
      <c r="H49" s="3">
        <v>48</v>
      </c>
      <c r="I49" s="18"/>
      <c r="J49" s="4" t="str">
        <f t="shared" si="1"/>
        <v/>
      </c>
      <c r="K49" s="6" t="e">
        <f>Table1[[#This Row],[blades_mass]]*C49</f>
        <v>#VALUE!</v>
      </c>
    </row>
    <row r="50" spans="1:11" x14ac:dyDescent="0.25">
      <c r="A50" s="3">
        <v>49</v>
      </c>
      <c r="B50" s="4">
        <v>25.582000000000001</v>
      </c>
      <c r="C50" s="5">
        <v>20</v>
      </c>
      <c r="H50" s="3">
        <v>49</v>
      </c>
      <c r="I50" s="18"/>
      <c r="J50" s="4" t="str">
        <f t="shared" si="1"/>
        <v/>
      </c>
      <c r="K50" s="6" t="e">
        <f>Table1[[#This Row],[blades_mass]]*C50</f>
        <v>#VALUE!</v>
      </c>
    </row>
    <row r="51" spans="1:11" x14ac:dyDescent="0.25">
      <c r="A51" s="3">
        <v>50</v>
      </c>
      <c r="B51" s="4">
        <v>25.591999999999999</v>
      </c>
      <c r="C51" s="5">
        <v>20</v>
      </c>
      <c r="H51" s="3">
        <v>50</v>
      </c>
      <c r="I51" s="18"/>
      <c r="J51" s="4" t="str">
        <f t="shared" si="1"/>
        <v/>
      </c>
      <c r="K51" s="6" t="e">
        <f>Table1[[#This Row],[blades_mass]]*C51</f>
        <v>#VALUE!</v>
      </c>
    </row>
    <row r="52" spans="1:11" x14ac:dyDescent="0.25">
      <c r="A52" s="3">
        <v>51</v>
      </c>
      <c r="B52" s="4">
        <v>25.593</v>
      </c>
      <c r="C52" s="5">
        <v>20</v>
      </c>
      <c r="H52" s="3">
        <v>51</v>
      </c>
      <c r="I52" s="18"/>
      <c r="J52" s="4" t="str">
        <f t="shared" si="1"/>
        <v/>
      </c>
      <c r="K52" s="6" t="e">
        <f>Table1[[#This Row],[blades_mass]]*C52</f>
        <v>#VALUE!</v>
      </c>
    </row>
    <row r="53" spans="1:11" x14ac:dyDescent="0.25">
      <c r="A53" s="3">
        <v>52</v>
      </c>
      <c r="B53" s="4">
        <v>25.635000000000002</v>
      </c>
      <c r="C53" s="5">
        <v>20</v>
      </c>
      <c r="H53" s="3">
        <v>52</v>
      </c>
      <c r="I53" s="18"/>
      <c r="J53" s="4" t="str">
        <f t="shared" si="1"/>
        <v/>
      </c>
      <c r="K53" s="6" t="e">
        <f>Table1[[#This Row],[blades_mass]]*C53</f>
        <v>#VALUE!</v>
      </c>
    </row>
    <row r="54" spans="1:11" x14ac:dyDescent="0.25">
      <c r="A54" s="3">
        <v>53</v>
      </c>
      <c r="B54" s="4">
        <v>25.65</v>
      </c>
      <c r="C54" s="5">
        <v>20</v>
      </c>
      <c r="H54" s="3">
        <v>53</v>
      </c>
      <c r="I54" s="18"/>
      <c r="J54" s="4" t="str">
        <f t="shared" si="1"/>
        <v/>
      </c>
      <c r="K54" s="6" t="e">
        <f>Table1[[#This Row],[blades_mass]]*C54</f>
        <v>#VALUE!</v>
      </c>
    </row>
    <row r="55" spans="1:11" x14ac:dyDescent="0.25">
      <c r="A55" s="3">
        <v>54</v>
      </c>
      <c r="B55" s="4">
        <v>25.654</v>
      </c>
      <c r="C55" s="5">
        <v>20</v>
      </c>
      <c r="H55" s="3">
        <v>54</v>
      </c>
      <c r="I55" s="18"/>
      <c r="J55" s="4" t="str">
        <f t="shared" si="1"/>
        <v/>
      </c>
      <c r="K55" s="6" t="e">
        <f>Table1[[#This Row],[blades_mass]]*C55</f>
        <v>#VALUE!</v>
      </c>
    </row>
    <row r="56" spans="1:11" x14ac:dyDescent="0.25">
      <c r="A56" s="3">
        <v>55</v>
      </c>
      <c r="B56" s="4">
        <v>25.670999999999999</v>
      </c>
      <c r="C56" s="5">
        <v>20</v>
      </c>
      <c r="H56" s="3">
        <v>55</v>
      </c>
      <c r="I56" s="18"/>
      <c r="J56" s="4" t="str">
        <f t="shared" si="1"/>
        <v/>
      </c>
      <c r="K56" s="6" t="e">
        <f>Table1[[#This Row],[blades_mass]]*C56</f>
        <v>#VALUE!</v>
      </c>
    </row>
    <row r="57" spans="1:11" x14ac:dyDescent="0.25">
      <c r="A57" s="3">
        <v>56</v>
      </c>
      <c r="B57" s="4">
        <v>25.712</v>
      </c>
      <c r="C57" s="5">
        <v>20</v>
      </c>
      <c r="H57" s="3">
        <v>56</v>
      </c>
      <c r="I57" s="18"/>
      <c r="J57" s="4" t="str">
        <f t="shared" si="1"/>
        <v/>
      </c>
      <c r="K57" s="6" t="e">
        <f>Table1[[#This Row],[blades_mass]]*C57</f>
        <v>#VALUE!</v>
      </c>
    </row>
    <row r="58" spans="1:11" x14ac:dyDescent="0.25">
      <c r="A58" s="3">
        <v>57</v>
      </c>
      <c r="B58" s="4">
        <v>25.734999999999999</v>
      </c>
      <c r="C58" s="5">
        <v>20</v>
      </c>
      <c r="H58" s="3">
        <v>57</v>
      </c>
      <c r="I58" s="18"/>
      <c r="J58" s="4" t="str">
        <f t="shared" si="1"/>
        <v/>
      </c>
      <c r="K58" s="6" t="e">
        <f>Table1[[#This Row],[blades_mass]]*C58</f>
        <v>#VALUE!</v>
      </c>
    </row>
    <row r="59" spans="1:11" x14ac:dyDescent="0.25">
      <c r="A59" s="3">
        <v>58</v>
      </c>
      <c r="B59" s="4">
        <v>25.741</v>
      </c>
      <c r="C59" s="5">
        <v>20</v>
      </c>
      <c r="H59" s="3">
        <v>58</v>
      </c>
      <c r="I59" s="18"/>
      <c r="J59" s="4" t="str">
        <f t="shared" si="1"/>
        <v/>
      </c>
      <c r="K59" s="6" t="e">
        <f>Table1[[#This Row],[blades_mass]]*C59</f>
        <v>#VALUE!</v>
      </c>
    </row>
    <row r="60" spans="1:11" x14ac:dyDescent="0.25">
      <c r="I60" s="18"/>
    </row>
    <row r="61" spans="1:11" x14ac:dyDescent="0.25">
      <c r="I61" s="18"/>
    </row>
    <row r="62" spans="1:11" x14ac:dyDescent="0.25">
      <c r="I62" s="18"/>
    </row>
    <row r="63" spans="1:11" x14ac:dyDescent="0.25">
      <c r="I63" s="18"/>
    </row>
    <row r="64" spans="1:11" x14ac:dyDescent="0.25">
      <c r="I64" s="18"/>
    </row>
    <row r="65" spans="9:9" x14ac:dyDescent="0.25">
      <c r="I65" s="18"/>
    </row>
    <row r="66" spans="9:9" x14ac:dyDescent="0.25">
      <c r="I66" s="18"/>
    </row>
    <row r="67" spans="9:9" x14ac:dyDescent="0.25">
      <c r="I67" s="18"/>
    </row>
    <row r="68" spans="9:9" x14ac:dyDescent="0.25">
      <c r="I68" s="18"/>
    </row>
    <row r="69" spans="9:9" x14ac:dyDescent="0.25">
      <c r="I69" s="18"/>
    </row>
    <row r="70" spans="9:9" x14ac:dyDescent="0.25">
      <c r="I70" s="18"/>
    </row>
    <row r="71" spans="9:9" x14ac:dyDescent="0.25">
      <c r="I71" s="18"/>
    </row>
    <row r="72" spans="9:9" x14ac:dyDescent="0.25">
      <c r="I72" s="18"/>
    </row>
    <row r="73" spans="9:9" x14ac:dyDescent="0.25">
      <c r="I73" s="18"/>
    </row>
    <row r="74" spans="9:9" x14ac:dyDescent="0.25">
      <c r="I74" s="18"/>
    </row>
    <row r="75" spans="9:9" x14ac:dyDescent="0.25">
      <c r="I75" s="18"/>
    </row>
    <row r="76" spans="9:9" x14ac:dyDescent="0.25">
      <c r="I76" s="18"/>
    </row>
    <row r="77" spans="9:9" x14ac:dyDescent="0.25">
      <c r="I77" s="18"/>
    </row>
    <row r="78" spans="9:9" x14ac:dyDescent="0.25">
      <c r="I78" s="18"/>
    </row>
    <row r="79" spans="9:9" x14ac:dyDescent="0.25">
      <c r="I79" s="18"/>
    </row>
    <row r="80" spans="9:9" x14ac:dyDescent="0.25">
      <c r="I80" s="18"/>
    </row>
    <row r="81" spans="9:9" x14ac:dyDescent="0.25">
      <c r="I81" s="18"/>
    </row>
    <row r="82" spans="9:9" x14ac:dyDescent="0.25">
      <c r="I82" s="18"/>
    </row>
    <row r="83" spans="9:9" x14ac:dyDescent="0.25">
      <c r="I83" s="18"/>
    </row>
    <row r="84" spans="9:9" x14ac:dyDescent="0.25">
      <c r="I84" s="18"/>
    </row>
    <row r="85" spans="9:9" x14ac:dyDescent="0.25">
      <c r="I85" s="18"/>
    </row>
    <row r="86" spans="9:9" x14ac:dyDescent="0.25">
      <c r="I86" s="18"/>
    </row>
    <row r="87" spans="9:9" x14ac:dyDescent="0.25">
      <c r="I87" s="18"/>
    </row>
    <row r="88" spans="9:9" x14ac:dyDescent="0.25">
      <c r="I88" s="18"/>
    </row>
    <row r="89" spans="9:9" x14ac:dyDescent="0.25">
      <c r="I89" s="18"/>
    </row>
    <row r="90" spans="9:9" x14ac:dyDescent="0.25">
      <c r="I90" s="18"/>
    </row>
    <row r="91" spans="9:9" x14ac:dyDescent="0.25">
      <c r="I91" s="18"/>
    </row>
    <row r="92" spans="9:9" x14ac:dyDescent="0.25">
      <c r="I92" s="18"/>
    </row>
    <row r="93" spans="9:9" x14ac:dyDescent="0.25">
      <c r="I93" s="18"/>
    </row>
    <row r="94" spans="9:9" x14ac:dyDescent="0.25">
      <c r="I94" s="18"/>
    </row>
    <row r="95" spans="9:9" x14ac:dyDescent="0.25">
      <c r="I95" s="18"/>
    </row>
    <row r="96" spans="9:9" x14ac:dyDescent="0.25">
      <c r="I96" s="18"/>
    </row>
    <row r="97" spans="9:9" x14ac:dyDescent="0.25">
      <c r="I97" s="18"/>
    </row>
    <row r="98" spans="9:9" x14ac:dyDescent="0.25">
      <c r="I98" s="18"/>
    </row>
    <row r="99" spans="9:9" x14ac:dyDescent="0.25">
      <c r="I99" s="18"/>
    </row>
    <row r="100" spans="9:9" x14ac:dyDescent="0.25">
      <c r="I100" s="18"/>
    </row>
    <row r="101" spans="9:9" x14ac:dyDescent="0.25">
      <c r="I101" s="18"/>
    </row>
  </sheetData>
  <sheetProtection algorithmName="SHA-512" hashValue="mzAtgx+w7EoSZRT276PZZQ70+AFz8cQl8qQVQNozJsq6JvNUF9Z7ys8u/no7iLo5AcNTzWmpN2quCvje+Nk/yw==" saltValue="ymKZZZ3wsv9o/M+aAHi/oA==" spinCount="100000" sheet="1" objects="1" scenarios="1" selectLockedCells="1"/>
  <conditionalFormatting sqref="B2:C100">
    <cfRule type="expression" dxfId="7" priority="3">
      <formula>ISNUMBER($A2)=TRUE</formula>
    </cfRule>
  </conditionalFormatting>
  <conditionalFormatting sqref="Q1">
    <cfRule type="cellIs" dxfId="6" priority="2" operator="greaterThan">
      <formula>15</formula>
    </cfRule>
    <cfRule type="cellIs" dxfId="5" priority="1" operator="lessThan">
      <formula>15</formula>
    </cfRule>
  </conditionalFormatting>
  <pageMargins left="0.7" right="0.7" top="0.75" bottom="0.75" header="0.3" footer="0.3"/>
  <pageSetup paperSize="9" orientation="portrait" r:id="rId1"/>
  <ignoredErrors>
    <ignoredError sqref="K2:K21 K22:K25 K26:K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lades_number">
                <anchor moveWithCells="1" sizeWithCells="1">
                  <from>
                    <xdr:col>4</xdr:col>
                    <xdr:colOff>0</xdr:colOff>
                    <xdr:row>3</xdr:row>
                    <xdr:rowOff>180975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ades_arm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reset_solution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Balance Blades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Tunes</dc:creator>
  <cp:lastModifiedBy>Luis Tunes</cp:lastModifiedBy>
  <dcterms:created xsi:type="dcterms:W3CDTF">2022-04-13T07:44:30Z</dcterms:created>
  <dcterms:modified xsi:type="dcterms:W3CDTF">2022-08-11T10:45:46Z</dcterms:modified>
</cp:coreProperties>
</file>